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sibility" sheetId="1" state="visible" r:id="rId3"/>
    <sheet name="Cost Estimates" sheetId="2" state="visible" r:id="rId4"/>
    <sheet name="Launch Cost Scenarios" sheetId="3" state="visible" r:id="rId5"/>
    <sheet name="Players &amp; Timeline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<sst xmlns="http://schemas.openxmlformats.org/spreadsheetml/2006/main" count="166" uniqueCount="151">
  <si>
    <t xml:space="preserve">Wireless Power Transmission: What Is Proven vs Not Yet Proven</t>
  </si>
  <si>
    <t xml:space="preserve">Technology / Claim</t>
  </si>
  <si>
    <t xml:space="preserve">Status</t>
  </si>
  <si>
    <t xml:space="preserve">Range / Scale</t>
  </si>
  <si>
    <t xml:space="preserve">Notes</t>
  </si>
  <si>
    <t xml:space="preserve">Near-field resonant coils (Qi, resonant links)</t>
  </si>
  <si>
    <t xml:space="preserve">Proven</t>
  </si>
  <si>
    <t xml:space="preserve">cm to a few m</t>
  </si>
  <si>
    <t xml:space="preserve">Commercial products exist.</t>
  </si>
  <si>
    <t xml:space="preserve">Microwave beaming, ground to ground</t>
  </si>
  <si>
    <t xml:space="preserve">Proven (small scale)</t>
  </si>
  <si>
    <t xml:space="preserve">~30 kW over 1 mile (1975)</t>
  </si>
  <si>
    <t xml:space="preserve">NASA/Raytheon demonstration.</t>
  </si>
  <si>
    <t xml:space="preserve">Orbital power beaming</t>
  </si>
  <si>
    <t xml:space="preserve">Demonstrated (small scale)</t>
  </si>
  <si>
    <t xml:space="preserve">Small experimental scale</t>
  </si>
  <si>
    <t xml:space="preserve">Caltech MAPLE; Space Solar CASSIOPeiA 360-degree transmission demo.</t>
  </si>
  <si>
    <t xml:space="preserve">Collecting sunlight in orbit and beaming it down</t>
  </si>
  <si>
    <t xml:space="preserve">No longer needs proof of concept</t>
  </si>
  <si>
    <t xml:space="preserve">Component level</t>
  </si>
  <si>
    <t xml:space="preserve">Per 2026 industry reporting.</t>
  </si>
  <si>
    <t xml:space="preserve">Gigawatt-scale beaming</t>
  </si>
  <si>
    <t xml:space="preserve">Not proven</t>
  </si>
  <si>
    <t xml:space="preserve">GW</t>
  </si>
  <si>
    <t xml:space="preserve">No demonstration yet.</t>
  </si>
  <si>
    <t xml:space="preserve">Kilometer-scale in-orbit assembly and maintenance</t>
  </si>
  <si>
    <t xml:space="preserve">Capability gap</t>
  </si>
  <si>
    <t xml:space="preserve">km</t>
  </si>
  <si>
    <t xml:space="preserve">Identified by NASA review as a main gap.</t>
  </si>
  <si>
    <t xml:space="preserve">Cost-competitive electricity</t>
  </si>
  <si>
    <t xml:space="preserve">n/a</t>
  </si>
  <si>
    <t xml:space="preserve">Depends on launch cost and mass per kW.</t>
  </si>
  <si>
    <t xml:space="preserve">Earth/atmosphere as free conductor (Tesla's original idea)</t>
  </si>
  <si>
    <t xml:space="preserve">Not viable</t>
  </si>
  <si>
    <t xml:space="preserve">Ground and ionosphere are too lossy; energy always comes from a transmitter.</t>
  </si>
  <si>
    <t xml:space="preserve">Cost Estimates</t>
  </si>
  <si>
    <t xml:space="preserve">Blue = editable input. Black = formula. Yellow = my assumption (not from a source).</t>
  </si>
  <si>
    <t xml:space="preserve">Input</t>
  </si>
  <si>
    <t xml:space="preserve">Value</t>
  </si>
  <si>
    <t xml:space="preserve">Unit</t>
  </si>
  <si>
    <t xml:space="preserve">Source / basis</t>
  </si>
  <si>
    <t xml:space="preserve">Space solar installed cost, low</t>
  </si>
  <si>
    <t xml:space="preserve">$/W</t>
  </si>
  <si>
    <t xml:space="preserve">Sustainable Atlas, 2026 (range $2-12/W)</t>
  </si>
  <si>
    <t xml:space="preserve">Space solar installed cost, high</t>
  </si>
  <si>
    <t xml:space="preserve">Terrestrial solar cost, low</t>
  </si>
  <si>
    <t xml:space="preserve">Sustainable Atlas, 2026 (range $0.70-1.20/W)</t>
  </si>
  <si>
    <t xml:space="preserve">Terrestrial solar cost, high</t>
  </si>
  <si>
    <t xml:space="preserve">Plant capacity</t>
  </si>
  <si>
    <t xml:space="preserve">Example size; change freely</t>
  </si>
  <si>
    <t xml:space="preserve">Number of GW-class plants (global network)</t>
  </si>
  <si>
    <t xml:space="preserve">plants</t>
  </si>
  <si>
    <t xml:space="preserve">My illustrative assumption</t>
  </si>
  <si>
    <t xml:space="preserve">Output</t>
  </si>
  <si>
    <t xml:space="preserve">Low</t>
  </si>
  <si>
    <t xml:space="preserve">High</t>
  </si>
  <si>
    <t xml:space="preserve">Unit / note</t>
  </si>
  <si>
    <t xml:space="preserve">Cost of one plant</t>
  </si>
  <si>
    <t xml:space="preserve">$ billion (GW x $/W)</t>
  </si>
  <si>
    <t xml:space="preserve">Equivalent terrestrial solar plant</t>
  </si>
  <si>
    <t xml:space="preserve">$ billion</t>
  </si>
  <si>
    <t xml:space="preserve">Space premium vs terrestrial (x)</t>
  </si>
  <si>
    <t xml:space="preserve">Low = best case, High = worst case</t>
  </si>
  <si>
    <t xml:space="preserve">Global network of plants</t>
  </si>
  <si>
    <t xml:space="preserve">$ billion; illustrative extrapolation, not a sourced figure</t>
  </si>
  <si>
    <t xml:space="preserve">Stage</t>
  </si>
  <si>
    <t xml:space="preserve">Low ($ million)</t>
  </si>
  <si>
    <t xml:space="preserve">High ($ million)</t>
  </si>
  <si>
    <t xml:space="preserve">Basis</t>
  </si>
  <si>
    <t xml:space="preserve">Kilowatt-class orbital demo</t>
  </si>
  <si>
    <t xml:space="preserve">My estimate: small satellite, launch, ground receiver</t>
  </si>
  <si>
    <t xml:space="preserve">Tens-of-MW pilot</t>
  </si>
  <si>
    <t xml:space="preserve">My estimate</t>
  </si>
  <si>
    <t xml:space="preserve">GW-class plant (from above)</t>
  </si>
  <si>
    <t xml:space="preserve">Linked to the calculation above</t>
  </si>
  <si>
    <t xml:space="preserve">Launch Cost Sensitivity</t>
  </si>
  <si>
    <t xml:space="preserve">MW</t>
  </si>
  <si>
    <t xml:space="preserve">1 GW example</t>
  </si>
  <si>
    <t xml:space="preserve">Satellite mass per kW delivered</t>
  </si>
  <si>
    <t xml:space="preserve">kg/kW</t>
  </si>
  <si>
    <t xml:space="preserve">My assumption (target level mentioned earlier is a few kg/kW)</t>
  </si>
  <si>
    <t xml:space="preserve">Total launched mass</t>
  </si>
  <si>
    <t xml:space="preserve">kg</t>
  </si>
  <si>
    <t xml:space="preserve">Formula</t>
  </si>
  <si>
    <t xml:space="preserve">Scenario</t>
  </si>
  <si>
    <t xml:space="preserve">Launch cost ($/kg)</t>
  </si>
  <si>
    <t xml:space="preserve">Launch cost ($ billion)</t>
  </si>
  <si>
    <t xml:space="preserve">Current SpaceX price (upper bound)</t>
  </si>
  <si>
    <t xml:space="preserve">Space.com: under $3,000/kg</t>
  </si>
  <si>
    <t xml:space="preserve">Industry range, low end today</t>
  </si>
  <si>
    <t xml:space="preserve">Sustainable Atlas: $1,500-2,700/kg</t>
  </si>
  <si>
    <t xml:space="preserve">Mid-term reduction</t>
  </si>
  <si>
    <t xml:space="preserve">My illustrative scenario</t>
  </si>
  <si>
    <t xml:space="preserve">Break-even claim (Virtus Solis)</t>
  </si>
  <si>
    <t xml:space="preserve">Company claim; treat with caution</t>
  </si>
  <si>
    <t xml:space="preserve">Note: launch is only one cost component; satellite manufacturing, in-orbit assembly and rectennas are extra.</t>
  </si>
  <si>
    <t xml:space="preserve">Who Is Building It</t>
  </si>
  <si>
    <t xml:space="preserve">Organization</t>
  </si>
  <si>
    <t xml:space="preserve">Approach</t>
  </si>
  <si>
    <t xml:space="preserve">Milestone</t>
  </si>
  <si>
    <t xml:space="preserve">Target date</t>
  </si>
  <si>
    <t xml:space="preserve">Overview Energy</t>
  </si>
  <si>
    <t xml:space="preserve">Satellites beam near-infrared light to existing solar farms</t>
  </si>
  <si>
    <t xml:space="preserve">Reported capacity reservation with Meta for up to 1 GW; in-orbit demo</t>
  </si>
  <si>
    <t xml:space="preserve">Demo 2028; supply from 2030</t>
  </si>
  <si>
    <t xml:space="preserve">Virtus Solis</t>
  </si>
  <si>
    <t xml:space="preserve">Orbital solar with microwave beaming</t>
  </si>
  <si>
    <t xml:space="preserve">Demo satellite sending over 1 kW to Earth; signed terms for ~500 MW</t>
  </si>
  <si>
    <t xml:space="preserve">2027 demo</t>
  </si>
  <si>
    <t xml:space="preserve">Space Solar (UK)</t>
  </si>
  <si>
    <t xml:space="preserve">CASSIOPeiA satellite platform</t>
  </si>
  <si>
    <t xml:space="preserve">Completed 360-degree wireless power transmission demo</t>
  </si>
  <si>
    <t xml:space="preserve">Seeking UK co-funding for orbital demonstrator</t>
  </si>
  <si>
    <t xml:space="preserve">Space Energy Initiative (UK)</t>
  </si>
  <si>
    <t xml:space="preserve">Policy advocacy</t>
  </si>
  <si>
    <t xml:space="preserve">Whitepaper 'The Case for Space Based Solar Power' (Aug 17, 2026)</t>
  </si>
  <si>
    <t xml:space="preserve">Caltech SSPP</t>
  </si>
  <si>
    <t xml:space="preserve">Orbital demonstrator (MAPLE)</t>
  </si>
  <si>
    <t xml:space="preserve">In-orbit power beaming test</t>
  </si>
  <si>
    <t xml:space="preserve">Completed 2023</t>
  </si>
  <si>
    <t xml:space="preserve">Reach Power</t>
  </si>
  <si>
    <t xml:space="preserve">Ground-based wireless power</t>
  </si>
  <si>
    <t xml:space="preserve">Operational ground deployment; NASA demo plan</t>
  </si>
  <si>
    <t xml:space="preserve">2027 NASA demo</t>
  </si>
  <si>
    <t xml:space="preserve">Horizon</t>
  </si>
  <si>
    <t xml:space="preserve">Expectation</t>
  </si>
  <si>
    <t xml:space="preserve">Within ~5 years</t>
  </si>
  <si>
    <t xml:space="preserve">kW to MW demonstrations; niche uses (remote sites, military, disaster zones, night power to solar farms)</t>
  </si>
  <si>
    <t xml:space="preserve">10-20 years</t>
  </si>
  <si>
    <t xml:space="preserve">Possible commercial GW plants, only if launch costs fall as hoped (not guaranteed)</t>
  </si>
  <si>
    <t xml:space="preserve">Unlikely</t>
  </si>
  <si>
    <t xml:space="preserve">Free power tapped from ground or air by anyone</t>
  </si>
  <si>
    <t xml:space="preserve">Sources and Caveats</t>
  </si>
  <si>
    <t xml:space="preserve">Item</t>
  </si>
  <si>
    <t xml:space="preserve">Detail</t>
  </si>
  <si>
    <t xml:space="preserve">Cost range $2-12/W vs $0.70-1.20/W</t>
  </si>
  <si>
    <t xml:space="preserve">Sustainable Atlas: sustainableatlas.org/post/cost-space-based-solar-power-energy-beaming-1808</t>
  </si>
  <si>
    <t xml:space="preserve">Launch price under $3,000/kg; $200/kg break-even claim</t>
  </si>
  <si>
    <t xml:space="preserve">Space.com article on SpaceX Starship and Virtus Solis</t>
  </si>
  <si>
    <t xml:space="preserve">20-fold NASA estimate variation</t>
  </si>
  <si>
    <t xml:space="preserve">xenospectrum.com summary of PowerMag report, July 9, 2026</t>
  </si>
  <si>
    <t xml:space="preserve">NASA favorable case $0.03-0.08/kWh</t>
  </si>
  <si>
    <t xml:space="preserve">SpaceQ coverage of NASA SBSP report</t>
  </si>
  <si>
    <t xml:space="preserve">NASA capability gaps</t>
  </si>
  <si>
    <t xml:space="preserve">Enlit, Jan 2024, on NASA study</t>
  </si>
  <si>
    <t xml:space="preserve">Overview Energy / Meta; market size</t>
  </si>
  <si>
    <t xml:space="preserve">Meticulous Research SBSP market report; Environment+Energy Leader</t>
  </si>
  <si>
    <t xml:space="preserve">Space Solar demo and UK whitepaper</t>
  </si>
  <si>
    <t xml:space="preserve">SmallSat News, Aug 17, 2026</t>
  </si>
  <si>
    <t xml:space="preserve">Caveat</t>
  </si>
  <si>
    <t xml:space="preserve">Yellow cells are my own estimates, not sourced. Company claims may be optimistic. Figures reflect searches on Oct 28, 2026.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</si>
</sst>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\$#,##0.0"/>
    <numFmt numFmtId="167" formatCode="0.0\x"/>
    <numFmt numFmtId="168" formatCode="\$#,##0"/>
    <numFmt numFmtId="169" formatCode="#,##0"/>
    <numFmt numFmtId="170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3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3" t="s">
        <v>6</v>
      </c>
      <c r="C4" s="3" t="s">
        <v>7</v>
      </c>
      <c r="D4" s="3" t="s">
        <v>8</v>
      </c>
    </row>
    <row r="5" customFormat="false" ht="15" hidden="false" customHeight="false" outlineLevel="0" collapsed="false">
      <c r="A5" s="3" t="s">
        <v>9</v>
      </c>
      <c r="B5" s="3" t="s">
        <v>10</v>
      </c>
      <c r="C5" s="3" t="s">
        <v>11</v>
      </c>
      <c r="D5" s="3" t="s">
        <v>12</v>
      </c>
    </row>
    <row r="6" customFormat="false" ht="23.85" hidden="false" customHeight="false" outlineLevel="0" collapsed="false">
      <c r="A6" s="3" t="s">
        <v>13</v>
      </c>
      <c r="B6" s="3" t="s">
        <v>14</v>
      </c>
      <c r="C6" s="3" t="s">
        <v>15</v>
      </c>
      <c r="D6" s="3" t="s">
        <v>16</v>
      </c>
    </row>
    <row r="7" customFormat="false" ht="15" hidden="false" customHeight="false" outlineLevel="0" collapsed="false">
      <c r="A7" s="3" t="s">
        <v>17</v>
      </c>
      <c r="B7" s="3" t="s">
        <v>18</v>
      </c>
      <c r="C7" s="3" t="s">
        <v>19</v>
      </c>
      <c r="D7" s="3" t="s">
        <v>20</v>
      </c>
    </row>
    <row r="8" customFormat="false" ht="15" hidden="false" customHeight="false" outlineLevel="0" collapsed="false">
      <c r="A8" s="3" t="s">
        <v>21</v>
      </c>
      <c r="B8" s="3" t="s">
        <v>22</v>
      </c>
      <c r="C8" s="3" t="s">
        <v>23</v>
      </c>
      <c r="D8" s="3" t="s">
        <v>24</v>
      </c>
    </row>
    <row r="9" customFormat="false" ht="15" hidden="false" customHeight="false" outlineLevel="0" collapsed="false">
      <c r="A9" s="3" t="s">
        <v>25</v>
      </c>
      <c r="B9" s="3" t="s">
        <v>26</v>
      </c>
      <c r="C9" s="3" t="s">
        <v>27</v>
      </c>
      <c r="D9" s="3" t="s">
        <v>28</v>
      </c>
    </row>
    <row r="10" customFormat="false" ht="15" hidden="false" customHeight="false" outlineLevel="0" collapsed="false">
      <c r="A10" s="3" t="s">
        <v>29</v>
      </c>
      <c r="B10" s="3" t="s">
        <v>22</v>
      </c>
      <c r="C10" s="3" t="s">
        <v>30</v>
      </c>
      <c r="D10" s="3" t="s">
        <v>31</v>
      </c>
    </row>
    <row r="11" customFormat="false" ht="23.85" hidden="false" customHeight="false" outlineLevel="0" collapsed="false">
      <c r="A11" s="3" t="s">
        <v>32</v>
      </c>
      <c r="B11" s="3" t="s">
        <v>33</v>
      </c>
      <c r="C11" s="3" t="s">
        <v>30</v>
      </c>
      <c r="D11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4" t="s">
        <v>36</v>
      </c>
    </row>
    <row r="4" customFormat="false" ht="15" hidden="false" customHeight="false" outlineLevel="0" collapsed="false">
      <c r="A4" s="2" t="s">
        <v>37</v>
      </c>
      <c r="B4" s="2" t="s">
        <v>38</v>
      </c>
      <c r="C4" s="2" t="s">
        <v>39</v>
      </c>
      <c r="D4" s="2" t="s">
        <v>40</v>
      </c>
    </row>
    <row r="5" customFormat="false" ht="15" hidden="false" customHeight="false" outlineLevel="0" collapsed="false">
      <c r="A5" s="3" t="s">
        <v>41</v>
      </c>
      <c r="B5" s="5" t="n">
        <v>2</v>
      </c>
      <c r="C5" s="3" t="s">
        <v>42</v>
      </c>
      <c r="D5" s="3" t="s">
        <v>43</v>
      </c>
    </row>
    <row r="6" customFormat="false" ht="15" hidden="false" customHeight="false" outlineLevel="0" collapsed="false">
      <c r="A6" s="3" t="s">
        <v>44</v>
      </c>
      <c r="B6" s="5" t="n">
        <v>12</v>
      </c>
      <c r="C6" s="3" t="s">
        <v>42</v>
      </c>
      <c r="D6" s="3" t="s">
        <v>43</v>
      </c>
    </row>
    <row r="7" customFormat="false" ht="15" hidden="false" customHeight="false" outlineLevel="0" collapsed="false">
      <c r="A7" s="3" t="s">
        <v>45</v>
      </c>
      <c r="B7" s="5" t="n">
        <v>0.7</v>
      </c>
      <c r="C7" s="3" t="s">
        <v>42</v>
      </c>
      <c r="D7" s="3" t="s">
        <v>46</v>
      </c>
    </row>
    <row r="8" customFormat="false" ht="15" hidden="false" customHeight="false" outlineLevel="0" collapsed="false">
      <c r="A8" s="3" t="s">
        <v>47</v>
      </c>
      <c r="B8" s="5" t="n">
        <v>1.2</v>
      </c>
      <c r="C8" s="3" t="s">
        <v>42</v>
      </c>
      <c r="D8" s="3" t="s">
        <v>46</v>
      </c>
    </row>
    <row r="9" customFormat="false" ht="15" hidden="false" customHeight="false" outlineLevel="0" collapsed="false">
      <c r="A9" s="3" t="s">
        <v>48</v>
      </c>
      <c r="B9" s="5" t="n">
        <v>1</v>
      </c>
      <c r="C9" s="3" t="s">
        <v>23</v>
      </c>
      <c r="D9" s="3" t="s">
        <v>49</v>
      </c>
    </row>
    <row r="10" customFormat="false" ht="15" hidden="false" customHeight="false" outlineLevel="0" collapsed="false">
      <c r="A10" s="3" t="s">
        <v>50</v>
      </c>
      <c r="B10" s="6" t="n">
        <v>100</v>
      </c>
      <c r="C10" s="3" t="s">
        <v>51</v>
      </c>
      <c r="D10" s="3" t="s">
        <v>52</v>
      </c>
    </row>
    <row r="12" customFormat="false" ht="15" hidden="false" customHeight="false" outlineLevel="0" collapsed="false">
      <c r="A12" s="2" t="s">
        <v>53</v>
      </c>
      <c r="B12" s="2" t="s">
        <v>54</v>
      </c>
      <c r="C12" s="2" t="s">
        <v>55</v>
      </c>
      <c r="D12" s="2" t="s">
        <v>56</v>
      </c>
    </row>
    <row r="13" customFormat="false" ht="15" hidden="false" customHeight="false" outlineLevel="0" collapsed="false">
      <c r="A13" s="3" t="s">
        <v>57</v>
      </c>
      <c r="B13" s="7" t="n">
        <f aca="false">B9*B5</f>
        <v>2</v>
      </c>
      <c r="C13" s="7" t="n">
        <f aca="false">B9*B6</f>
        <v>12</v>
      </c>
      <c r="D13" s="3" t="s">
        <v>58</v>
      </c>
    </row>
    <row r="14" customFormat="false" ht="15" hidden="false" customHeight="false" outlineLevel="0" collapsed="false">
      <c r="A14" s="3" t="s">
        <v>59</v>
      </c>
      <c r="B14" s="7" t="n">
        <f aca="false">B9*B7</f>
        <v>0.7</v>
      </c>
      <c r="C14" s="7" t="n">
        <f aca="false">B9*B8</f>
        <v>1.2</v>
      </c>
      <c r="D14" s="3" t="s">
        <v>60</v>
      </c>
    </row>
    <row r="15" customFormat="false" ht="15" hidden="false" customHeight="false" outlineLevel="0" collapsed="false">
      <c r="A15" s="3" t="s">
        <v>61</v>
      </c>
      <c r="B15" s="8" t="n">
        <f aca="false">B5/B8</f>
        <v>1.66666666666667</v>
      </c>
      <c r="C15" s="8" t="n">
        <f aca="false">B6/B7</f>
        <v>17.1428571428571</v>
      </c>
      <c r="D15" s="3" t="s">
        <v>62</v>
      </c>
    </row>
    <row r="16" customFormat="false" ht="15" hidden="false" customHeight="false" outlineLevel="0" collapsed="false">
      <c r="A16" s="3" t="s">
        <v>63</v>
      </c>
      <c r="B16" s="9" t="n">
        <f aca="false">B13*B10</f>
        <v>200</v>
      </c>
      <c r="C16" s="9" t="n">
        <f aca="false">C13*B10</f>
        <v>1200</v>
      </c>
      <c r="D16" s="3" t="s">
        <v>64</v>
      </c>
    </row>
    <row r="18" customFormat="false" ht="15" hidden="false" customHeight="false" outlineLevel="0" collapsed="false">
      <c r="A18" s="2" t="s">
        <v>65</v>
      </c>
      <c r="B18" s="2" t="s">
        <v>66</v>
      </c>
      <c r="C18" s="2" t="s">
        <v>67</v>
      </c>
      <c r="D18" s="2" t="s">
        <v>68</v>
      </c>
    </row>
    <row r="19" customFormat="false" ht="15" hidden="false" customHeight="false" outlineLevel="0" collapsed="false">
      <c r="A19" s="3" t="s">
        <v>69</v>
      </c>
      <c r="B19" s="10" t="n">
        <v>50</v>
      </c>
      <c r="C19" s="10" t="n">
        <v>300</v>
      </c>
      <c r="D19" s="3" t="s">
        <v>70</v>
      </c>
    </row>
    <row r="20" customFormat="false" ht="15" hidden="false" customHeight="false" outlineLevel="0" collapsed="false">
      <c r="A20" s="3" t="s">
        <v>71</v>
      </c>
      <c r="B20" s="10" t="n">
        <v>1000</v>
      </c>
      <c r="C20" s="10" t="n">
        <v>5000</v>
      </c>
      <c r="D20" s="3" t="s">
        <v>72</v>
      </c>
    </row>
    <row r="21" customFormat="false" ht="15" hidden="false" customHeight="false" outlineLevel="0" collapsed="false">
      <c r="A21" s="3" t="s">
        <v>73</v>
      </c>
      <c r="B21" s="9" t="n">
        <f aca="false">B13*1000</f>
        <v>2000</v>
      </c>
      <c r="C21" s="9" t="n">
        <f aca="false">C13*1000</f>
        <v>12000</v>
      </c>
      <c r="D21" s="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75</v>
      </c>
    </row>
    <row r="3" customFormat="false" ht="15" hidden="false" customHeight="false" outlineLevel="0" collapsed="false">
      <c r="A3" s="2" t="s">
        <v>37</v>
      </c>
      <c r="B3" s="2" t="s">
        <v>38</v>
      </c>
      <c r="C3" s="2" t="s">
        <v>39</v>
      </c>
      <c r="D3" s="2" t="s">
        <v>40</v>
      </c>
    </row>
    <row r="4" customFormat="false" ht="15" hidden="false" customHeight="false" outlineLevel="0" collapsed="false">
      <c r="A4" s="3" t="s">
        <v>48</v>
      </c>
      <c r="B4" s="11" t="n">
        <v>1000</v>
      </c>
      <c r="C4" s="3" t="s">
        <v>76</v>
      </c>
      <c r="D4" s="3" t="s">
        <v>77</v>
      </c>
    </row>
    <row r="5" customFormat="false" ht="15" hidden="false" customHeight="false" outlineLevel="0" collapsed="false">
      <c r="A5" s="3" t="s">
        <v>78</v>
      </c>
      <c r="B5" s="12" t="n">
        <v>5</v>
      </c>
      <c r="C5" s="3" t="s">
        <v>79</v>
      </c>
      <c r="D5" s="3" t="s">
        <v>80</v>
      </c>
    </row>
    <row r="6" customFormat="false" ht="15" hidden="false" customHeight="false" outlineLevel="0" collapsed="false">
      <c r="A6" s="3" t="s">
        <v>81</v>
      </c>
      <c r="B6" s="13" t="n">
        <f aca="false">B4*1000*B5</f>
        <v>5000000</v>
      </c>
      <c r="C6" s="3" t="s">
        <v>82</v>
      </c>
      <c r="D6" s="3" t="s">
        <v>83</v>
      </c>
    </row>
    <row r="8" customFormat="false" ht="15" hidden="false" customHeight="false" outlineLevel="0" collapsed="false">
      <c r="A8" s="2" t="s">
        <v>84</v>
      </c>
      <c r="B8" s="2" t="s">
        <v>85</v>
      </c>
      <c r="C8" s="2" t="s">
        <v>86</v>
      </c>
      <c r="D8" s="2" t="s">
        <v>68</v>
      </c>
    </row>
    <row r="9" customFormat="false" ht="15" hidden="false" customHeight="false" outlineLevel="0" collapsed="false">
      <c r="A9" s="3" t="s">
        <v>87</v>
      </c>
      <c r="B9" s="14" t="n">
        <v>3000</v>
      </c>
      <c r="C9" s="7" t="n">
        <f aca="false">$B$6*B9/1000000000</f>
        <v>15</v>
      </c>
      <c r="D9" s="3" t="s">
        <v>88</v>
      </c>
    </row>
    <row r="10" customFormat="false" ht="15" hidden="false" customHeight="false" outlineLevel="0" collapsed="false">
      <c r="A10" s="3" t="s">
        <v>89</v>
      </c>
      <c r="B10" s="14" t="n">
        <v>1500</v>
      </c>
      <c r="C10" s="7" t="n">
        <f aca="false">$B$6*B10/1000000000</f>
        <v>7.5</v>
      </c>
      <c r="D10" s="3" t="s">
        <v>90</v>
      </c>
    </row>
    <row r="11" customFormat="false" ht="15" hidden="false" customHeight="false" outlineLevel="0" collapsed="false">
      <c r="A11" s="3" t="s">
        <v>91</v>
      </c>
      <c r="B11" s="10" t="n">
        <v>500</v>
      </c>
      <c r="C11" s="7" t="n">
        <f aca="false">$B$6*B11/1000000000</f>
        <v>2.5</v>
      </c>
      <c r="D11" s="3" t="s">
        <v>92</v>
      </c>
    </row>
    <row r="12" customFormat="false" ht="15" hidden="false" customHeight="false" outlineLevel="0" collapsed="false">
      <c r="A12" s="3" t="s">
        <v>93</v>
      </c>
      <c r="B12" s="14" t="n">
        <v>200</v>
      </c>
      <c r="C12" s="7" t="n">
        <f aca="false">$B$6*B12/1000000000</f>
        <v>1</v>
      </c>
      <c r="D12" s="3" t="s">
        <v>94</v>
      </c>
    </row>
    <row r="14" customFormat="false" ht="15" hidden="false" customHeight="false" outlineLevel="0" collapsed="false">
      <c r="A14" s="4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60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1" t="s">
        <v>96</v>
      </c>
    </row>
    <row r="3" customFormat="false" ht="15" hidden="false" customHeight="false" outlineLevel="0" collapsed="false">
      <c r="A3" s="2" t="s">
        <v>97</v>
      </c>
      <c r="B3" s="2" t="s">
        <v>98</v>
      </c>
      <c r="C3" s="2" t="s">
        <v>99</v>
      </c>
      <c r="D3" s="2" t="s">
        <v>100</v>
      </c>
    </row>
    <row r="4" customFormat="false" ht="15" hidden="false" customHeight="false" outlineLevel="0" collapsed="false">
      <c r="A4" s="3" t="s">
        <v>101</v>
      </c>
      <c r="B4" s="3" t="s">
        <v>102</v>
      </c>
      <c r="C4" s="3" t="s">
        <v>103</v>
      </c>
      <c r="D4" s="3" t="s">
        <v>104</v>
      </c>
    </row>
    <row r="5" customFormat="false" ht="15" hidden="false" customHeight="false" outlineLevel="0" collapsed="false">
      <c r="A5" s="3" t="s">
        <v>105</v>
      </c>
      <c r="B5" s="3" t="s">
        <v>106</v>
      </c>
      <c r="C5" s="3" t="s">
        <v>107</v>
      </c>
      <c r="D5" s="3" t="s">
        <v>108</v>
      </c>
    </row>
    <row r="6" customFormat="false" ht="23.85" hidden="false" customHeight="false" outlineLevel="0" collapsed="false">
      <c r="A6" s="3" t="s">
        <v>109</v>
      </c>
      <c r="B6" s="3" t="s">
        <v>110</v>
      </c>
      <c r="C6" s="3" t="s">
        <v>111</v>
      </c>
      <c r="D6" s="3" t="s">
        <v>112</v>
      </c>
    </row>
    <row r="7" customFormat="false" ht="15" hidden="false" customHeight="false" outlineLevel="0" collapsed="false">
      <c r="A7" s="3" t="s">
        <v>113</v>
      </c>
      <c r="B7" s="3" t="s">
        <v>114</v>
      </c>
      <c r="C7" s="3" t="s">
        <v>115</v>
      </c>
      <c r="D7" s="3" t="s">
        <v>30</v>
      </c>
    </row>
    <row r="8" customFormat="false" ht="15" hidden="false" customHeight="false" outlineLevel="0" collapsed="false">
      <c r="A8" s="3" t="s">
        <v>116</v>
      </c>
      <c r="B8" s="3" t="s">
        <v>117</v>
      </c>
      <c r="C8" s="3" t="s">
        <v>118</v>
      </c>
      <c r="D8" s="3" t="s">
        <v>119</v>
      </c>
    </row>
    <row r="9" customFormat="false" ht="15" hidden="false" customHeight="false" outlineLevel="0" collapsed="false">
      <c r="A9" s="3" t="s">
        <v>120</v>
      </c>
      <c r="B9" s="3" t="s">
        <v>121</v>
      </c>
      <c r="C9" s="3" t="s">
        <v>122</v>
      </c>
      <c r="D9" s="3" t="s">
        <v>123</v>
      </c>
    </row>
    <row r="11" customFormat="false" ht="15" hidden="false" customHeight="false" outlineLevel="0" collapsed="false">
      <c r="A11" s="2" t="s">
        <v>124</v>
      </c>
      <c r="B11" s="2" t="s">
        <v>125</v>
      </c>
      <c r="C11" s="2"/>
      <c r="D11" s="2"/>
    </row>
    <row r="12" customFormat="false" ht="23.85" hidden="false" customHeight="false" outlineLevel="0" collapsed="false">
      <c r="A12" s="3" t="s">
        <v>126</v>
      </c>
      <c r="B12" s="3" t="s">
        <v>127</v>
      </c>
      <c r="C12" s="3"/>
      <c r="D12" s="3"/>
    </row>
    <row r="13" customFormat="false" ht="23.85" hidden="false" customHeight="false" outlineLevel="0" collapsed="false">
      <c r="A13" s="3" t="s">
        <v>128</v>
      </c>
      <c r="B13" s="3" t="s">
        <v>129</v>
      </c>
      <c r="C13" s="3"/>
      <c r="D13" s="3"/>
    </row>
    <row r="14" customFormat="false" ht="15" hidden="false" customHeight="false" outlineLevel="0" collapsed="false">
      <c r="A14" s="3" t="s">
        <v>130</v>
      </c>
      <c r="B14" s="3" t="s">
        <v>131</v>
      </c>
      <c r="C14" s="3"/>
      <c r="D1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132</v>
      </c>
    </row>
    <row r="3" customFormat="false" ht="15" hidden="false" customHeight="false" outlineLevel="0" collapsed="false">
      <c r="A3" s="2" t="s">
        <v>133</v>
      </c>
      <c r="B3" s="2" t="s">
        <v>134</v>
      </c>
    </row>
    <row r="4" customFormat="false" ht="15" hidden="false" customHeight="false" outlineLevel="0" collapsed="false">
      <c r="A4" s="3" t="s">
        <v>135</v>
      </c>
      <c r="B4" s="3" t="s">
        <v>136</v>
      </c>
    </row>
    <row r="5" customFormat="false" ht="15" hidden="false" customHeight="false" outlineLevel="0" collapsed="false">
      <c r="A5" s="3" t="s">
        <v>137</v>
      </c>
      <c r="B5" s="3" t="s">
        <v>138</v>
      </c>
    </row>
    <row r="6" customFormat="false" ht="15" hidden="false" customHeight="false" outlineLevel="0" collapsed="false">
      <c r="A6" s="3" t="s">
        <v>139</v>
      </c>
      <c r="B6" s="3" t="s">
        <v>140</v>
      </c>
    </row>
    <row r="7" customFormat="false" ht="15" hidden="false" customHeight="false" outlineLevel="0" collapsed="false">
      <c r="A7" s="3" t="s">
        <v>141</v>
      </c>
      <c r="B7" s="3" t="s">
        <v>142</v>
      </c>
    </row>
    <row r="8" customFormat="false" ht="15" hidden="false" customHeight="false" outlineLevel="0" collapsed="false">
      <c r="A8" s="3" t="s">
        <v>143</v>
      </c>
      <c r="B8" s="3" t="s">
        <v>144</v>
      </c>
    </row>
    <row r="9" customFormat="false" ht="15" hidden="false" customHeight="false" outlineLevel="0" collapsed="false">
      <c r="A9" s="3" t="s">
        <v>145</v>
      </c>
      <c r="B9" s="3" t="s">
        <v>146</v>
      </c>
    </row>
    <row r="10" customFormat="false" ht="15" hidden="false" customHeight="false" outlineLevel="0" collapsed="false">
      <c r="A10" s="3" t="s">
        <v>147</v>
      </c>
      <c r="B10" s="3" t="s">
        <v>148</v>
      </c>
    </row>
    <row r="11" customFormat="false" ht="23.85" hidden="false" customHeight="false" outlineLevel="0" collapsed="false">
      <c r="A11" s="3" t="s">
        <v>149</v>
      </c>
      <c r="B11" s="3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2026-10-27T20:27:15Z</dcterms:created>
  <dc:creator/>
  <dc:description/>
  <dc:language>en-US</dc:language>
  <cp:lastModifiedBy/>
  <dcterms:modified xsi:type="dcterms:W3CDTF">2026-10-27T20:27:15Z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